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aas8\IdeaProjects\TF_US_PM1\src\main\java\tag05\aufgabe\ha\"/>
    </mc:Choice>
  </mc:AlternateContent>
  <xr:revisionPtr revIDLastSave="0" documentId="13_ncr:1_{724DC9CE-0895-4CE2-9289-4B56FD8BA309}" xr6:coauthVersionLast="47" xr6:coauthVersionMax="47" xr10:uidLastSave="{00000000-0000-0000-0000-000000000000}"/>
  <bookViews>
    <workbookView xWindow="-120" yWindow="-120" windowWidth="29040" windowHeight="15720" xr2:uid="{ABDB6A8A-761B-400F-A067-161206910DA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D38" i="1"/>
  <c r="F14" i="1"/>
  <c r="D4" i="1"/>
  <c r="D6" i="1"/>
  <c r="D14" i="1"/>
  <c r="F10" i="1"/>
  <c r="F12" i="1" s="1"/>
  <c r="D15" i="1" l="1"/>
  <c r="F15" i="1"/>
</calcChain>
</file>

<file path=xl/sharedStrings.xml><?xml version="1.0" encoding="utf-8"?>
<sst xmlns="http://schemas.openxmlformats.org/spreadsheetml/2006/main" count="62" uniqueCount="60">
  <si>
    <t>Option A: Cloud-basiertes CRM-System</t>
  </si>
  <si>
    <t>Option B: On-Premises CRM-System</t>
  </si>
  <si>
    <t>Kosten</t>
  </si>
  <si>
    <t>Nutzen</t>
  </si>
  <si>
    <t>Einrichtungsgebühr</t>
  </si>
  <si>
    <t xml:space="preserve">Monatliche Abonnementgebühr: </t>
  </si>
  <si>
    <t xml:space="preserve">Schulungskosten (einmalig): </t>
  </si>
  <si>
    <t>Verbesserte Kundenbetreuung und schnellere Reaktionszeiten.</t>
  </si>
  <si>
    <t>Automatisierung von Vertriebs- und Marketingprozessen</t>
  </si>
  <si>
    <t>Bessere Datenanalyse und Reporting</t>
  </si>
  <si>
    <t>Erhöhung der Kundenzufriedenheit und -bindung</t>
  </si>
  <si>
    <t>Geschätzte Umsatzsteigerung von 10 % pro Jahr</t>
  </si>
  <si>
    <t xml:space="preserve">Softwarelizenz (einmalig): </t>
  </si>
  <si>
    <t>Hardwarekosten (Server, etc.)</t>
  </si>
  <si>
    <t>Implementierungskosten:</t>
  </si>
  <si>
    <t>Jährliche Wartungskosten</t>
  </si>
  <si>
    <t>Vollständige Kontrolle über Daten und System</t>
  </si>
  <si>
    <t>Anpassung an spezifische Unternehmensanforderungen</t>
  </si>
  <si>
    <t>Erhöhte Datensicherheit</t>
  </si>
  <si>
    <t>Geschätzte Umsatzsteigerung von 8 % pro Jahr</t>
  </si>
  <si>
    <t>Basisumsatz </t>
  </si>
  <si>
    <t>ROI </t>
  </si>
  <si>
    <t>für 5 Jahren</t>
  </si>
  <si>
    <t>qualitativer Vergleich</t>
  </si>
  <si>
    <t>Datensicherheit</t>
  </si>
  <si>
    <t>Hängt vom Anbieter ab (i. d. R. gut, aber fremde Server)</t>
  </si>
  <si>
    <t>Volle Kontrolle (unternehmenseigene Server)</t>
  </si>
  <si>
    <t>Flexibilität / Skalierbarkeit</t>
  </si>
  <si>
    <t>Sehr hoch (jederzeit erweiterbar)</t>
  </si>
  <si>
    <t>Gering (Hardware muss im Voraus gekauft werden)</t>
  </si>
  <si>
    <t>Zugriff von überall</t>
  </si>
  <si>
    <t>Ja (Internet)</t>
  </si>
  <si>
    <t>Nicht ohne zusätzliche VPN-Lösung</t>
  </si>
  <si>
    <t>Wartungsaufwand (IT)</t>
  </si>
  <si>
    <t>Sehr gering (Anbieter macht Updates)</t>
  </si>
  <si>
    <t>Hoch (eigene Administratoren nötig)</t>
  </si>
  <si>
    <t>Anpassbarkeit</t>
  </si>
  <si>
    <t>Begrenzt (nur was der Anbieter erlaubt)</t>
  </si>
  <si>
    <t>Hoch (individuelle Entwicklung möglich)</t>
  </si>
  <si>
    <t>Planungssicherheit Kosten</t>
  </si>
  <si>
    <t>Monatlich kalkulierbar</t>
  </si>
  <si>
    <t>Große Anfangsinvestition, aber später fix</t>
  </si>
  <si>
    <t>Compliance (DSGVO, etc.)</t>
  </si>
  <si>
    <t>Hängt vom Anbieter ab (evtl. Problem)</t>
  </si>
  <si>
    <t>Einfacher zu gewährleisten</t>
  </si>
  <si>
    <t>Empfehlung für das Management</t>
  </si>
  <si>
    <t>Begründung:</t>
  </si>
  <si>
    <t>1. Höherer ROI:</t>
  </si>
  <si>
    <t>Mit 576 % deutlich über dem ROI von Option B (292 %).</t>
  </si>
  <si>
    <t>2. Geringere Anfangsinvestition:</t>
  </si>
  <si>
    <t>37.000 € statt 51.000 € → weniger Kapitalbindung.</t>
  </si>
  <si>
    <t>3. Geringeres Risiko:</t>
  </si>
  <si>
    <t>Bei Misserfolg sind nur 5 Jahre Abonnementkosten verloren – bei On‑Premises zusätzlich Hardware- und Lizenzkosten.</t>
  </si>
  <si>
    <t>4. Höhere Umsatzsteigerung:</t>
  </si>
  <si>
    <t>+10 % (Cloud) vs. +8 % (On‑Premises) – Cloud‑Lösungen sind oft moderner und besser integrierbar.</t>
  </si>
  <si>
    <t>5. Geringerer interner Aufwand:</t>
  </si>
  <si>
    <t>Keine eigene Server‑Hardware, keine Update‑Probleme, keine zusätzlichen IT‑Administratoren nötig.</t>
  </si>
  <si>
    <t>6. Bessere Skalierbarkeit:</t>
  </si>
  <si>
    <t>Bei Wachstum einfach mehr Lizenzen buchen – bei On‑Premises müsste neue Hardware angeschafft werden.</t>
  </si>
  <si>
    <t>Nur wenn strikte Sicherheitsanforderungen (z.B. Banken, Rüstung, Behörden) eine eigene Server‑Kontrolle zwingend vorschreiben, oder wenn individuelle Anpassungen erforderlich sind, die kein Cloud‑Anbieter bietet.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</si>
</sst>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9" fontId="0" fillId="0" borderId="0" xfId="1" applyFont="1"/>
    <xf numFmtId="9" fontId="2" fillId="0" borderId="0" xfId="1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distributed" wrapText="1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0409-C26A-4466-9C22-03103F85492D}">
  <dimension ref="A1:F52"/>
  <sheetViews>
    <sheetView tabSelected="1" workbookViewId="0">
      <selection activeCell="E26" sqref="E26"/>
    </sheetView>
  </sheetViews>
  <sheetFormatPr baseColWidth="10" defaultRowHeight="15" x14ac:dyDescent="0.25"/>
  <cols>
    <col min="1" max="1" width="60" bestFit="1" customWidth="1"/>
    <col min="2" max="2" width="7" bestFit="1" customWidth="1"/>
    <col min="3" max="3" width="53.28515625" customWidth="1"/>
    <col min="4" max="4" width="13.5703125" bestFit="1" customWidth="1"/>
    <col min="5" max="5" width="73.7109375" customWidth="1"/>
    <col min="6" max="6" width="13.5703125" bestFit="1" customWidth="1"/>
  </cols>
  <sheetData>
    <row r="1" spans="1:6" x14ac:dyDescent="0.25">
      <c r="C1" s="2" t="s">
        <v>0</v>
      </c>
      <c r="D1" s="2" t="s">
        <v>22</v>
      </c>
      <c r="E1" s="2" t="s">
        <v>1</v>
      </c>
      <c r="F1" s="2" t="s">
        <v>22</v>
      </c>
    </row>
    <row r="2" spans="1:6" x14ac:dyDescent="0.25">
      <c r="A2" s="1" t="s">
        <v>2</v>
      </c>
      <c r="B2" s="1"/>
    </row>
    <row r="3" spans="1:6" x14ac:dyDescent="0.25">
      <c r="A3" s="3" t="s">
        <v>4</v>
      </c>
      <c r="B3" s="3"/>
      <c r="C3">
        <v>5000</v>
      </c>
      <c r="D3">
        <v>5000</v>
      </c>
    </row>
    <row r="4" spans="1:6" x14ac:dyDescent="0.25">
      <c r="A4" s="3" t="s">
        <v>5</v>
      </c>
      <c r="B4" s="3"/>
      <c r="C4">
        <v>500</v>
      </c>
      <c r="D4">
        <f>C4*12*5</f>
        <v>30000</v>
      </c>
    </row>
    <row r="5" spans="1:6" x14ac:dyDescent="0.25">
      <c r="A5" s="3" t="s">
        <v>6</v>
      </c>
      <c r="B5" s="3"/>
      <c r="C5">
        <v>2000</v>
      </c>
      <c r="D5">
        <v>2000</v>
      </c>
    </row>
    <row r="6" spans="1:6" x14ac:dyDescent="0.25">
      <c r="D6">
        <f>SUM(D3:D5)</f>
        <v>37000</v>
      </c>
    </row>
    <row r="7" spans="1:6" x14ac:dyDescent="0.25">
      <c r="A7" s="3" t="s">
        <v>12</v>
      </c>
      <c r="B7" s="3"/>
      <c r="E7">
        <v>15000</v>
      </c>
      <c r="F7">
        <v>15000</v>
      </c>
    </row>
    <row r="8" spans="1:6" x14ac:dyDescent="0.25">
      <c r="A8" s="3" t="s">
        <v>13</v>
      </c>
      <c r="B8" s="3"/>
      <c r="E8">
        <v>10000</v>
      </c>
      <c r="F8">
        <v>10000</v>
      </c>
    </row>
    <row r="9" spans="1:6" x14ac:dyDescent="0.25">
      <c r="A9" s="3" t="s">
        <v>14</v>
      </c>
      <c r="B9" s="3"/>
      <c r="E9">
        <v>8000</v>
      </c>
      <c r="F9">
        <v>8000</v>
      </c>
    </row>
    <row r="10" spans="1:6" x14ac:dyDescent="0.25">
      <c r="A10" s="3" t="s">
        <v>15</v>
      </c>
      <c r="B10" s="3"/>
      <c r="E10">
        <v>3000</v>
      </c>
      <c r="F10">
        <f>E10*5</f>
        <v>15000</v>
      </c>
    </row>
    <row r="11" spans="1:6" x14ac:dyDescent="0.25">
      <c r="A11" s="3" t="s">
        <v>6</v>
      </c>
      <c r="B11" s="3"/>
      <c r="E11">
        <v>3000</v>
      </c>
      <c r="F11">
        <v>3000</v>
      </c>
    </row>
    <row r="12" spans="1:6" x14ac:dyDescent="0.25">
      <c r="F12">
        <f>SUM(F7:F11)</f>
        <v>51000</v>
      </c>
    </row>
    <row r="14" spans="1:6" x14ac:dyDescent="0.25">
      <c r="A14" s="3" t="s">
        <v>20</v>
      </c>
      <c r="B14">
        <v>500000</v>
      </c>
      <c r="D14">
        <f>B14*0.1*5</f>
        <v>250000</v>
      </c>
      <c r="F14">
        <f>B14*0.08*5</f>
        <v>200000</v>
      </c>
    </row>
    <row r="15" spans="1:6" x14ac:dyDescent="0.25">
      <c r="A15" s="3" t="s">
        <v>21</v>
      </c>
      <c r="B15" s="3"/>
      <c r="D15" s="5">
        <f>(D14-D6)/D6</f>
        <v>5.756756756756757</v>
      </c>
      <c r="F15" s="4">
        <f>(F14-F12)/F12</f>
        <v>2.9215686274509802</v>
      </c>
    </row>
    <row r="16" spans="1:6" x14ac:dyDescent="0.25">
      <c r="A16" s="3"/>
      <c r="B16" s="3"/>
    </row>
    <row r="17" spans="1:6" x14ac:dyDescent="0.25">
      <c r="A17" s="3"/>
      <c r="B17" s="3"/>
    </row>
    <row r="18" spans="1:6" x14ac:dyDescent="0.25">
      <c r="A18" s="1" t="s">
        <v>3</v>
      </c>
      <c r="B18" s="1"/>
    </row>
    <row r="19" spans="1:6" x14ac:dyDescent="0.25">
      <c r="A19" s="3" t="s">
        <v>7</v>
      </c>
      <c r="B19" s="3"/>
    </row>
    <row r="20" spans="1:6" x14ac:dyDescent="0.25">
      <c r="A20" s="3" t="s">
        <v>8</v>
      </c>
      <c r="B20" s="3"/>
    </row>
    <row r="21" spans="1:6" x14ac:dyDescent="0.25">
      <c r="A21" s="3" t="s">
        <v>9</v>
      </c>
      <c r="B21" s="3"/>
    </row>
    <row r="22" spans="1:6" x14ac:dyDescent="0.25">
      <c r="A22" s="3" t="s">
        <v>10</v>
      </c>
      <c r="B22" s="3"/>
    </row>
    <row r="23" spans="1:6" x14ac:dyDescent="0.25">
      <c r="A23" s="3" t="s">
        <v>11</v>
      </c>
      <c r="B23" s="3"/>
    </row>
    <row r="25" spans="1:6" x14ac:dyDescent="0.25">
      <c r="A25" s="3" t="s">
        <v>16</v>
      </c>
      <c r="B25" s="3"/>
    </row>
    <row r="26" spans="1:6" x14ac:dyDescent="0.25">
      <c r="A26" s="3" t="s">
        <v>17</v>
      </c>
      <c r="B26" s="3"/>
    </row>
    <row r="27" spans="1:6" x14ac:dyDescent="0.25">
      <c r="A27" s="3" t="s">
        <v>18</v>
      </c>
      <c r="B27" s="3"/>
    </row>
    <row r="28" spans="1:6" x14ac:dyDescent="0.25">
      <c r="A28" s="3" t="s">
        <v>19</v>
      </c>
      <c r="B28" s="3"/>
    </row>
    <row r="30" spans="1:6" x14ac:dyDescent="0.25">
      <c r="A30" s="3" t="s">
        <v>23</v>
      </c>
    </row>
    <row r="31" spans="1:6" x14ac:dyDescent="0.25">
      <c r="A31" s="6" t="s">
        <v>24</v>
      </c>
      <c r="C31" t="s">
        <v>25</v>
      </c>
      <c r="D31">
        <v>0</v>
      </c>
      <c r="E31" t="s">
        <v>26</v>
      </c>
      <c r="F31">
        <v>1</v>
      </c>
    </row>
    <row r="32" spans="1:6" x14ac:dyDescent="0.25">
      <c r="A32" s="6" t="s">
        <v>27</v>
      </c>
      <c r="C32" t="s">
        <v>28</v>
      </c>
      <c r="D32">
        <v>1</v>
      </c>
      <c r="E32" t="s">
        <v>29</v>
      </c>
      <c r="F32">
        <v>0</v>
      </c>
    </row>
    <row r="33" spans="1:6" x14ac:dyDescent="0.25">
      <c r="A33" s="7" t="s">
        <v>30</v>
      </c>
      <c r="C33" t="s">
        <v>31</v>
      </c>
      <c r="D33">
        <v>1</v>
      </c>
      <c r="E33" t="s">
        <v>32</v>
      </c>
      <c r="F33">
        <v>0</v>
      </c>
    </row>
    <row r="34" spans="1:6" x14ac:dyDescent="0.25">
      <c r="A34" s="7" t="s">
        <v>33</v>
      </c>
      <c r="C34" t="s">
        <v>34</v>
      </c>
      <c r="D34">
        <v>1</v>
      </c>
      <c r="E34" t="s">
        <v>35</v>
      </c>
      <c r="F34">
        <v>0</v>
      </c>
    </row>
    <row r="35" spans="1:6" x14ac:dyDescent="0.25">
      <c r="A35" s="7" t="s">
        <v>36</v>
      </c>
      <c r="C35" t="s">
        <v>37</v>
      </c>
      <c r="D35">
        <v>0</v>
      </c>
      <c r="E35" t="s">
        <v>38</v>
      </c>
      <c r="F35">
        <v>1</v>
      </c>
    </row>
    <row r="36" spans="1:6" x14ac:dyDescent="0.25">
      <c r="A36" s="7" t="s">
        <v>39</v>
      </c>
      <c r="C36" t="s">
        <v>40</v>
      </c>
      <c r="D36">
        <v>1</v>
      </c>
      <c r="E36" t="s">
        <v>41</v>
      </c>
      <c r="F36">
        <v>0</v>
      </c>
    </row>
    <row r="37" spans="1:6" x14ac:dyDescent="0.25">
      <c r="A37" s="7" t="s">
        <v>42</v>
      </c>
      <c r="C37" t="s">
        <v>43</v>
      </c>
      <c r="D37">
        <v>0</v>
      </c>
      <c r="E37" t="s">
        <v>44</v>
      </c>
      <c r="F37">
        <v>1</v>
      </c>
    </row>
    <row r="38" spans="1:6" x14ac:dyDescent="0.25">
      <c r="D38" s="8">
        <f>SUMIF(D31:D37,1,D31:D37)</f>
        <v>4</v>
      </c>
      <c r="F38" s="8">
        <f>SUMIF(F31:F37,1,F31:F37)</f>
        <v>3</v>
      </c>
    </row>
    <row r="39" spans="1:6" x14ac:dyDescent="0.25">
      <c r="A39" s="3" t="s">
        <v>45</v>
      </c>
    </row>
    <row r="40" spans="1:6" ht="45" x14ac:dyDescent="0.25">
      <c r="A40" s="3" t="s">
        <v>46</v>
      </c>
      <c r="E40" s="10" t="s">
        <v>59</v>
      </c>
    </row>
    <row r="41" spans="1:6" ht="15" customHeight="1" x14ac:dyDescent="0.25">
      <c r="C41" s="3" t="s">
        <v>47</v>
      </c>
      <c r="E41" s="9"/>
    </row>
    <row r="42" spans="1:6" ht="17.25" customHeight="1" x14ac:dyDescent="0.25">
      <c r="C42" s="3" t="s">
        <v>48</v>
      </c>
      <c r="E42" s="9"/>
    </row>
    <row r="43" spans="1:6" ht="17.25" customHeight="1" x14ac:dyDescent="0.25">
      <c r="C43" s="3" t="s">
        <v>49</v>
      </c>
      <c r="E43" s="9"/>
    </row>
    <row r="44" spans="1:6" ht="17.25" customHeight="1" x14ac:dyDescent="0.25">
      <c r="C44" s="3" t="s">
        <v>50</v>
      </c>
      <c r="E44" s="9"/>
    </row>
    <row r="45" spans="1:6" ht="17.25" customHeight="1" x14ac:dyDescent="0.25">
      <c r="C45" s="3" t="s">
        <v>51</v>
      </c>
      <c r="E45" s="9"/>
    </row>
    <row r="46" spans="1:6" ht="45" x14ac:dyDescent="0.25">
      <c r="C46" s="9" t="s">
        <v>52</v>
      </c>
      <c r="E46" s="9"/>
    </row>
    <row r="47" spans="1:6" ht="17.25" customHeight="1" x14ac:dyDescent="0.25">
      <c r="C47" s="9" t="s">
        <v>53</v>
      </c>
      <c r="E47" s="9"/>
    </row>
    <row r="48" spans="1:6" ht="34.5" customHeight="1" x14ac:dyDescent="0.25">
      <c r="C48" s="9" t="s">
        <v>54</v>
      </c>
      <c r="E48" s="9"/>
    </row>
    <row r="49" spans="3:5" ht="17.25" customHeight="1" x14ac:dyDescent="0.25">
      <c r="C49" s="9" t="s">
        <v>55</v>
      </c>
      <c r="E49" s="9"/>
    </row>
    <row r="50" spans="3:5" ht="34.5" customHeight="1" x14ac:dyDescent="0.25">
      <c r="C50" s="9" t="s">
        <v>56</v>
      </c>
      <c r="E50" s="9"/>
    </row>
    <row r="51" spans="3:5" ht="17.25" customHeight="1" x14ac:dyDescent="0.25">
      <c r="C51" s="9" t="s">
        <v>57</v>
      </c>
      <c r="E51" s="9"/>
    </row>
    <row r="52" spans="3:5" ht="45" x14ac:dyDescent="0.25">
      <c r="C52" s="9" t="s">
        <v>58</v>
      </c>
      <c r="E52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Haas</dc:creator>
  <cp:lastModifiedBy>Andreas Haas</cp:lastModifiedBy>
  <dcterms:created xsi:type="dcterms:W3CDTF">2026-05-18T12:04:25Z</dcterms:created>
  <dcterms:modified xsi:type="dcterms:W3CDTF">2026-05-18T12:46:47Z</dcterms:modified>
</cp:coreProperties>
</file>